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ate/Desktop/Tlovendo/public/autos/"/>
    </mc:Choice>
  </mc:AlternateContent>
  <xr:revisionPtr revIDLastSave="0" documentId="13_ncr:1_{BC4B5025-99D5-A84A-B733-F418B5AFE841}" xr6:coauthVersionLast="47" xr6:coauthVersionMax="47" xr10:uidLastSave="{00000000-0000-0000-0000-000000000000}"/>
  <bookViews>
    <workbookView xWindow="0" yWindow="760" windowWidth="29400" windowHeight="17160" xr2:uid="{00000000-000D-0000-FFFF-FFFF00000000}"/>
  </bookViews>
  <sheets>
    <sheet name="Características" sheetId="1" r:id="rId1"/>
    <sheet name="Fotos" sheetId="2" r:id="rId2"/>
    <sheet name="Hoja 4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A16" i="3"/>
  <c r="F15" i="3"/>
  <c r="A15" i="3"/>
  <c r="F14" i="3"/>
  <c r="A14" i="3"/>
  <c r="F13" i="3"/>
  <c r="A13" i="3"/>
  <c r="F12" i="3"/>
  <c r="A12" i="3"/>
  <c r="F11" i="3"/>
  <c r="A11" i="3"/>
  <c r="F10" i="3"/>
  <c r="A10" i="3"/>
  <c r="F9" i="3"/>
  <c r="A9" i="3"/>
  <c r="F8" i="3"/>
  <c r="A8" i="3"/>
  <c r="F7" i="3"/>
  <c r="A7" i="3"/>
  <c r="F6" i="3"/>
  <c r="A6" i="3"/>
  <c r="F5" i="3"/>
  <c r="A5" i="3"/>
  <c r="F4" i="3"/>
  <c r="A4" i="3"/>
  <c r="F3" i="3"/>
  <c r="A3" i="3"/>
  <c r="F2" i="3"/>
  <c r="A2" i="3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E3" i="2"/>
  <c r="D3" i="2"/>
  <c r="C3" i="2"/>
</calcChain>
</file>

<file path=xl/sharedStrings.xml><?xml version="1.0" encoding="utf-8"?>
<sst xmlns="http://schemas.openxmlformats.org/spreadsheetml/2006/main" count="313" uniqueCount="196">
  <si>
    <t>Motor y rendimiento</t>
  </si>
  <si>
    <t>Seguridad</t>
  </si>
  <si>
    <t xml:space="preserve">Comodidad </t>
  </si>
  <si>
    <t>Tecnología</t>
  </si>
  <si>
    <t>N°</t>
  </si>
  <si>
    <t>Marca</t>
  </si>
  <si>
    <t>Modelo</t>
  </si>
  <si>
    <t>Año</t>
  </si>
  <si>
    <t>Versión</t>
  </si>
  <si>
    <t>Dueños</t>
  </si>
  <si>
    <t>Kilometraje</t>
  </si>
  <si>
    <t>Color</t>
  </si>
  <si>
    <t>Transmisión</t>
  </si>
  <si>
    <t>Precio</t>
  </si>
  <si>
    <t>Combustible</t>
  </si>
  <si>
    <t>Ubicación</t>
  </si>
  <si>
    <t>Estado</t>
  </si>
  <si>
    <t>Motor</t>
  </si>
  <si>
    <t>Potencia</t>
  </si>
  <si>
    <t>Consumo</t>
  </si>
  <si>
    <t>Emisiones</t>
  </si>
  <si>
    <t>ABS</t>
  </si>
  <si>
    <t>ESP</t>
  </si>
  <si>
    <t>Airbags frontales</t>
  </si>
  <si>
    <t>Airbags laterales</t>
  </si>
  <si>
    <t>Control de tracción</t>
  </si>
  <si>
    <t>Aire acondicionado</t>
  </si>
  <si>
    <t>Dirección asistida</t>
  </si>
  <si>
    <t>Alzavidrios eléctricos</t>
  </si>
  <si>
    <t>Espejos eléctricos</t>
  </si>
  <si>
    <t>Sistema de audio</t>
  </si>
  <si>
    <t>Bluetooth</t>
  </si>
  <si>
    <t>USB</t>
  </si>
  <si>
    <t>Control crucero</t>
  </si>
  <si>
    <t>Vínculo</t>
  </si>
  <si>
    <t>Kia</t>
  </si>
  <si>
    <t>Morning</t>
  </si>
  <si>
    <t xml:space="preserve">Full </t>
  </si>
  <si>
    <t>Blanco</t>
  </si>
  <si>
    <t>Automático</t>
  </si>
  <si>
    <t>9890000</t>
  </si>
  <si>
    <t>Bencina</t>
  </si>
  <si>
    <t>Santiago</t>
  </si>
  <si>
    <t>En venta</t>
  </si>
  <si>
    <t>Sí</t>
  </si>
  <si>
    <t>https://drive.google.com/drive/folders/1mmwgd8EvOBt1t2GQm1bJzDnY2GKnzhQQ?usp=drive_link</t>
  </si>
  <si>
    <t>Sonet</t>
  </si>
  <si>
    <t>12990000</t>
  </si>
  <si>
    <t>Vendido</t>
  </si>
  <si>
    <t>https://drive.google.com/drive/folders/1jCYE5wva3F1aU4uKQkCw7sYpmDy0K_nH?usp=drive_link</t>
  </si>
  <si>
    <t>Suzuki</t>
  </si>
  <si>
    <t>Alto</t>
  </si>
  <si>
    <t>Palatedo</t>
  </si>
  <si>
    <t>Mecánico</t>
  </si>
  <si>
    <t>5190000</t>
  </si>
  <si>
    <t>No</t>
  </si>
  <si>
    <t>https://drive.google.com/drive/folders/1-nidiR8yTLCKCfoMjOcucScjchAkg495?usp=drive_link</t>
  </si>
  <si>
    <t>Hyundai</t>
  </si>
  <si>
    <t>Tucson</t>
  </si>
  <si>
    <t>Full</t>
  </si>
  <si>
    <t>Burdeo</t>
  </si>
  <si>
    <t>11490000</t>
  </si>
  <si>
    <t>Las Condes</t>
  </si>
  <si>
    <t>https://drive.google.com/drive/folders/1lBAtaI1g5eubQEjcLyIwKNZ5iFdc0if3?usp=drive_link</t>
  </si>
  <si>
    <t>Mercedes Benz</t>
  </si>
  <si>
    <t>GLC</t>
  </si>
  <si>
    <t>220d</t>
  </si>
  <si>
    <t>17890000</t>
  </si>
  <si>
    <t>Diesel</t>
  </si>
  <si>
    <t>https://drive.google.com/drive/folders/1P1ogiUOsEgEg68bIAzOvs3dH4Y18oBBb?usp=drive_link</t>
  </si>
  <si>
    <t>Toyota</t>
  </si>
  <si>
    <t>Avensis</t>
  </si>
  <si>
    <t>6490000</t>
  </si>
  <si>
    <t>2.0</t>
  </si>
  <si>
    <t>https://drive.google.com/drive/folders/1PWdYqothpUKCKNjqRBJqis9HTsNIQrdS?usp=drive_link</t>
  </si>
  <si>
    <t xml:space="preserve">Chevrolet </t>
  </si>
  <si>
    <t>Tahoe</t>
  </si>
  <si>
    <t>23990000</t>
  </si>
  <si>
    <t>https://drive.google.com/drive/folders/1Sv9pXx5U3AJqJNQsKHwcQ36B1i-TVKpv?usp=drive_link</t>
  </si>
  <si>
    <t>Nissan</t>
  </si>
  <si>
    <t>Pathfinder</t>
  </si>
  <si>
    <t>Azul metálico</t>
  </si>
  <si>
    <t>16990000</t>
  </si>
  <si>
    <t>https://drive.google.com/drive/folders/11YYQXWVNV5v3TgW80Qbq99v_vQWvmYTy?usp=drive_link</t>
  </si>
  <si>
    <t>Ford</t>
  </si>
  <si>
    <t>F150 XLT</t>
  </si>
  <si>
    <t>17990000</t>
  </si>
  <si>
    <t>https://drive.google.com/drive/folders/1luK3Q9bunxpYb_EDUVp-L1NrtbmEQpH-?usp=drive_link</t>
  </si>
  <si>
    <t>Fusion</t>
  </si>
  <si>
    <t>Híbrido</t>
  </si>
  <si>
    <t>15550000</t>
  </si>
  <si>
    <t>Eléctrico</t>
  </si>
  <si>
    <t>Colina</t>
  </si>
  <si>
    <t>https://drive.google.com/drive/folders/1Our4M7DHBcawMtz41s2_XmS-upycz-iz?usp=drive_link</t>
  </si>
  <si>
    <t>Soluto</t>
  </si>
  <si>
    <t>8390000</t>
  </si>
  <si>
    <t>https://drive.google.com/drive/folders/1eAKrwlM-n2bf7VYuxvQBtV8aS3t8OM1Y?usp=drive_link</t>
  </si>
  <si>
    <t>BMW</t>
  </si>
  <si>
    <t>Citroen</t>
  </si>
  <si>
    <t>Picasso</t>
  </si>
  <si>
    <t>https://drive.google.com/drive/folders/1-XINa4BOKQTydfTEcdeFJ5Bb5rOApCi7?usp=drive_link</t>
  </si>
  <si>
    <t>Subaru</t>
  </si>
  <si>
    <t>Forester</t>
  </si>
  <si>
    <t>AWD</t>
  </si>
  <si>
    <t>18990000</t>
  </si>
  <si>
    <t>Chevrolet</t>
  </si>
  <si>
    <t>Silverado ZR2</t>
  </si>
  <si>
    <t>47990000</t>
  </si>
  <si>
    <t>Huechuraba</t>
  </si>
  <si>
    <t>Great Wall</t>
  </si>
  <si>
    <t>Wingle 6 Elite</t>
  </si>
  <si>
    <t>6990000</t>
  </si>
  <si>
    <t xml:space="preserve">Nissan </t>
  </si>
  <si>
    <t>X1</t>
  </si>
  <si>
    <t>Sentra</t>
  </si>
  <si>
    <t>Frontal</t>
  </si>
  <si>
    <t>Lateral</t>
  </si>
  <si>
    <t>Posterior</t>
  </si>
  <si>
    <t>Tablero</t>
  </si>
  <si>
    <t>Asientos</t>
  </si>
  <si>
    <t>https://drive.google.com/file/d/1fx3QSdbXat_msLf2wy_oKTqJYthzIT5T/view?usp=drive_link</t>
  </si>
  <si>
    <t>https://drive.google.com/file/d/1Kxunbuf-1xueUgUlU2Mv932wYxbOW6TA/view?usp=drive_link</t>
  </si>
  <si>
    <t>https://drive.google.com/file/d/1XnrLP4Z566sBFn3-OPnBuvLK81Bb7WP0/view?usp=drive_link</t>
  </si>
  <si>
    <t>https://drive.google.com/file/d/1Y0rE4ywP4Wf0Gs8wfExraWXa-Ne9xbTi/view?usp=drive_link</t>
  </si>
  <si>
    <t>https://drive.google.com/file/d/1O2FhRxb5kSp2hyy4l31R3N2_AQBsEL33/view?usp=drive_link</t>
  </si>
  <si>
    <t>https://drive.google.com/file/d/1dRX8rMabUY624IbqohlpVtub9Ii356yP/view?usp=drive_link</t>
  </si>
  <si>
    <t>https://drive.google.com/file/d/1iQPXOVuI3NLPrJlcZJKrrZMzD2941Fqn/view?usp=drive_link</t>
  </si>
  <si>
    <t>https://drive.google.com/file/d/13-QuTG718ih3v1xovN29n03IRRsbYx3Y/view?usp=drive_link</t>
  </si>
  <si>
    <t>https://drive.google.com/file/d/1j1A-i8H6t9BbsiVJt2oE3SJYodp0_CHA/view?usp=drive_link</t>
  </si>
  <si>
    <t>https://drive.google.com/file/d/1PQn5CcDTRSUAJ5pqzeU-LMPyY98N3pb3/view?usp=drive_link</t>
  </si>
  <si>
    <t>https://drive.google.com/file/d/1GrV0laEV8JIoNw9V685khOm0yVUBQZYV/view?usp=drive_link</t>
  </si>
  <si>
    <t>https://drive.google.com/file/d/1ndJEfsntEM4r6J3RwngFlFyJl5cQvsRb/view?usp=drive_link</t>
  </si>
  <si>
    <t>https://drive.google.com/file/d/1LryBQIZ27-M5Iky3yKEME3fEhFKrp-m0/view?usp=drive_link</t>
  </si>
  <si>
    <t>https://drive.google.com/file/d/1VT9h4LAY2mYojX6CTiEkayy6Rdouvtyr/view?usp=drive_link</t>
  </si>
  <si>
    <t>https://drive.google.com/file/d/1iAeWtcfGszJsZqghaB75A5488c96gnQX/view?usp=drive_link</t>
  </si>
  <si>
    <t>https://drive.google.com/file/d/1LaZ7RawQiDcGtWdV4mCqLELBxwvFm_c-/view?usp=drive_link</t>
  </si>
  <si>
    <t>https://drive.google.com/file/d/1bOSMaoiORIx1AJxg6K0VuHu7luhYdmnd/view?usp=drive_link</t>
  </si>
  <si>
    <t>https://drive.google.com/file/d/1iqz9LcisWLSqIrjt8ACIcVyY56HTCKad/view?usp=drive_link</t>
  </si>
  <si>
    <t>https://drive.google.com/file/d/1rP9-LSA7cZvAy7WTpj7zdMgt-3OAz_Cx/view?usp=drive_link</t>
  </si>
  <si>
    <t>https://drive.google.com/file/d/1nPx3XLIeR5hPDqOe8paP7C1BtfxRTvNG/view?usp=drive_link</t>
  </si>
  <si>
    <t>https://drive.google.com/file/d/1XkdpuB0-0gBW8qsxxMYc1cTBQB1eTtTZ/view?usp=drive_link</t>
  </si>
  <si>
    <t>https://drive.google.com/file/d/1i2F-3PQ7By6l2dtpTy1KCKXKY_5ntFsK/view?usp=drive_link</t>
  </si>
  <si>
    <t>https://drive.google.com/file/d/1Tacw34XbAIwVdsePaTdCoW01AdQdQOSm/view?usp=drive_link</t>
  </si>
  <si>
    <t>https://drive.google.com/file/d/1RQGj3QBg8vTVdKduBoN-y9sgOx2knmo1/view?usp=drive_link</t>
  </si>
  <si>
    <t>https://drive.google.com/file/d/1x86SG8SXXKwPiNna0fk0TUDaKn3y1frv/view?usp=drive_link</t>
  </si>
  <si>
    <t>https://drive.google.com/file/d/1nZSoN3tmT5vIzdN5cX7rXMAJKNkT_tG8/view?usp=drive_link</t>
  </si>
  <si>
    <t>https://drive.google.com/file/d/1jUPDjLGwGoCaAc6zps6knngFgU7TcxFG/view?usp=drive_link</t>
  </si>
  <si>
    <t>https://drive.google.com/file/d/1aiGaSPgFZzf3Z6YiG9xcbyC8smwG9BTy/view?usp=drive_link</t>
  </si>
  <si>
    <t>https://drive.google.com/file/d/1tE-EyR_W6iMGdGIhAUWdGQ2Sj-JInTnL/view?usp=drive_link</t>
  </si>
  <si>
    <t>https://drive.google.com/file/d/1-94aMpbPMyfit_L9u7__Fh0TJgw9IKQw/view?usp=drive_link</t>
  </si>
  <si>
    <t>https://drive.google.com/file/d/1TqrHDlOySwdBP93Xzx2tZXW4RHIK28eP/view?usp=drive_link</t>
  </si>
  <si>
    <t>https://drive.google.com/file/d/1ayAIKxviWY8hQ6bLhvPkwRinXIsHvvuG/view?usp=drive_link</t>
  </si>
  <si>
    <t>https://drive.google.com/file/d/1QC8oynHtZKaZd4OVZSLHz1YK5jzjLynj/view?usp=drive_link</t>
  </si>
  <si>
    <t>https://drive.google.com/file/d/1IZxi2LTf3BYD1tWwxz1tQLfHC94YwrDM/view?usp=drive_link</t>
  </si>
  <si>
    <t>https://drive.google.com/file/d/1sca1LyZIb-n0m4WuDR6PlziNDO2OLu3W/view?usp=drive_link</t>
  </si>
  <si>
    <t>https://drive.google.com/file/d/1RzhSDb074c2yDjAeal4hGd7GhPP-9dD_/view?usp=drive_link</t>
  </si>
  <si>
    <t>https://drive.google.com/file/d/1aQ5qdxLBOJMQj4BMAHEr8_7DiuDR5ye9/view?usp=drive_link</t>
  </si>
  <si>
    <t>https://drive.google.com/file/d/1Ga4f05PSlounPvLszRCAvetsiYLfQ1A_/view?usp=drive_link</t>
  </si>
  <si>
    <t>https://drive.google.com/file/d/15Mexgek8IKloNUD3_iO-0htXfyg1hbX3/view?usp=drive_link</t>
  </si>
  <si>
    <t>https://drive.google.com/file/d/1e3qw-7n6-8HtlcJyUAizqx77Q6f5e-ui/view?usp=drive_link</t>
  </si>
  <si>
    <t>https://drive.google.com/file/d/1gt7ptQRz0sDeeWGSsJqbf1Xtcm3hMT1o/view?usp=drive_link</t>
  </si>
  <si>
    <t>https://drive.google.com/file/d/1M3gbeWVbUkOcP51uTc2LSrNRhBU2JHCN/view?usp=drive_link</t>
  </si>
  <si>
    <t>https://drive.google.com/file/d/1CB_XJAhSNvLoVM-RhgnVYkwx5-uhNoUN/view?usp=drive_link</t>
  </si>
  <si>
    <t>https://drive.google.com/file/d/1JCZ09Rz7Ug_BagO0jTYxhaOdUcrwkOQQ/view?usp=drive_link</t>
  </si>
  <si>
    <t>https://drive.google.com/file/d/1zty4AFxSWENbDSZrHXH4ltt-NRNZMWVM/view?usp=drive_link</t>
  </si>
  <si>
    <t>https://drive.google.com/file/d/1YffZP6XFy1Wqn6Ycskq3T5IKJfrzK1T0/view?usp=drive_link</t>
  </si>
  <si>
    <t>https://drive.google.com/file/d/13_u-3yQYCNi8X7QYSwBa062nvwLuyPdq/view?usp=drive_link</t>
  </si>
  <si>
    <t>https://drive.google.com/file/d/1B47dAT0aMdFCGE1-PY5r1fJ8DLNHxiuI/view?usp=drive_link</t>
  </si>
  <si>
    <t>https://drive.google.com/file/d/1_qklQ6lKiM2FXd0cmBz3qEv72h93_fm0/view?usp=drive_link</t>
  </si>
  <si>
    <t>https://drive.google.com/file/d/1q9BzSFkSjxl6yQJ-weJ7s8Jzk19Z8aRl/view?usp=drive_link</t>
  </si>
  <si>
    <t>https://drive.google.com/file/d/1bEgUAQOXMBkxBqFIQLpYjSgNSMLH4V6V/view?usp=drive_link</t>
  </si>
  <si>
    <t>https://drive.google.com/file/d/1ljVZdJAPN_K5vng9aI8912p8WKM211NO/view?usp=drive_link</t>
  </si>
  <si>
    <t>https://drive.google.com/file/d/1mmmjq4J60WhyhwLMwIqfLs4DnPScM0ks/view?usp=drive_link</t>
  </si>
  <si>
    <t>https://drive.google.com/file/d/1CzcWqHMmFETx1QDLg6NwXG-K_0wBhrdS/view?usp=drive_link</t>
  </si>
  <si>
    <t>https://drive.google.com/file/d/11QYIIkWo85_qNvhWkteFBXri1txZr4Tq/view?usp=drive_link</t>
  </si>
  <si>
    <t>frontal</t>
  </si>
  <si>
    <t>.jpg</t>
  </si>
  <si>
    <t>9_frontal.jpg</t>
  </si>
  <si>
    <t>lateral</t>
  </si>
  <si>
    <t>9_lateral.jpg</t>
  </si>
  <si>
    <t>posterior</t>
  </si>
  <si>
    <t>9_posterior.jpg</t>
  </si>
  <si>
    <t>tablero</t>
  </si>
  <si>
    <t>9_tablero.jpg</t>
  </si>
  <si>
    <t>asientos</t>
  </si>
  <si>
    <t>9_asientos.jpg</t>
  </si>
  <si>
    <t>10_frontal.jpg</t>
  </si>
  <si>
    <t>10_lateral.jpg</t>
  </si>
  <si>
    <t>10_posterior.jpg</t>
  </si>
  <si>
    <t>10_tablero.jpg</t>
  </si>
  <si>
    <t>10_asientos.jpg</t>
  </si>
  <si>
    <t>11_frontal.jpg</t>
  </si>
  <si>
    <t>11_lateral.jpg</t>
  </si>
  <si>
    <t>11_posterior.jpg</t>
  </si>
  <si>
    <t>11_tablero.jpg</t>
  </si>
  <si>
    <t>11_asientos.jpg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</si>
</sst>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38761D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3" fillId="4" borderId="1" xfId="0" applyFont="1" applyFill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3" fontId="1" fillId="0" borderId="1" xfId="0" applyNumberFormat="1" applyFont="1" applyBorder="1"/>
    <xf numFmtId="49" fontId="1" fillId="0" borderId="1" xfId="0" applyNumberFormat="1" applyFont="1" applyBorder="1"/>
    <xf numFmtId="164" fontId="1" fillId="0" borderId="1" xfId="0" applyNumberFormat="1" applyFont="1" applyBorder="1"/>
    <xf numFmtId="0" fontId="4" fillId="0" borderId="0" xfId="0" applyFont="1"/>
    <xf numFmtId="0" fontId="1" fillId="5" borderId="1" xfId="0" applyFont="1" applyFill="1" applyBorder="1" applyAlignment="1">
      <alignment horizontal="right"/>
    </xf>
    <xf numFmtId="0" fontId="1" fillId="5" borderId="1" xfId="0" applyFont="1" applyFill="1" applyBorder="1"/>
    <xf numFmtId="3" fontId="1" fillId="5" borderId="1" xfId="0" applyNumberFormat="1" applyFont="1" applyFill="1" applyBorder="1"/>
    <xf numFmtId="49" fontId="1" fillId="5" borderId="1" xfId="0" applyNumberFormat="1" applyFont="1" applyFill="1" applyBorder="1"/>
    <xf numFmtId="3" fontId="1" fillId="5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49" fontId="8" fillId="0" borderId="0" xfId="0" applyNumberFormat="1" applyFont="1"/>
    <xf numFmtId="0" fontId="8" fillId="0" borderId="0" xfId="0" applyFont="1"/>
    <xf numFmtId="0" fontId="2" fillId="2" borderId="0" xfId="0" applyFont="1" applyFill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1YYQXWVNV5v3TgW80Qbq99v_vQWvmYTy?usp=drive_link" TargetMode="External"/><Relationship Id="rId3" Type="http://schemas.openxmlformats.org/officeDocument/2006/relationships/hyperlink" Target="https://drive.google.com/drive/folders/1-nidiR8yTLCKCfoMjOcucScjchAkg495?usp=drive_link" TargetMode="External"/><Relationship Id="rId7" Type="http://schemas.openxmlformats.org/officeDocument/2006/relationships/hyperlink" Target="https://drive.google.com/drive/folders/1Sv9pXx5U3AJqJNQsKHwcQ36B1i-TVKpv?usp=drive_link" TargetMode="External"/><Relationship Id="rId12" Type="http://schemas.openxmlformats.org/officeDocument/2006/relationships/hyperlink" Target="https://drive.google.com/drive/folders/1-XINa4BOKQTydfTEcdeFJ5Bb5rOApCi7?usp=drive_link" TargetMode="External"/><Relationship Id="rId2" Type="http://schemas.openxmlformats.org/officeDocument/2006/relationships/hyperlink" Target="https://drive.google.com/drive/folders/1jCYE5wva3F1aU4uKQkCw7sYpmDy0K_nH?usp=drive_link" TargetMode="External"/><Relationship Id="rId1" Type="http://schemas.openxmlformats.org/officeDocument/2006/relationships/hyperlink" Target="https://drive.google.com/drive/folders/1mmwgd8EvOBt1t2GQm1bJzDnY2GKnzhQQ?usp=drive_link" TargetMode="External"/><Relationship Id="rId6" Type="http://schemas.openxmlformats.org/officeDocument/2006/relationships/hyperlink" Target="https://drive.google.com/drive/folders/1PWdYqothpUKCKNjqRBJqis9HTsNIQrdS?usp=drive_link" TargetMode="External"/><Relationship Id="rId11" Type="http://schemas.openxmlformats.org/officeDocument/2006/relationships/hyperlink" Target="https://drive.google.com/drive/folders/1eAKrwlM-n2bf7VYuxvQBtV8aS3t8OM1Y?usp=drive_link" TargetMode="External"/><Relationship Id="rId5" Type="http://schemas.openxmlformats.org/officeDocument/2006/relationships/hyperlink" Target="https://drive.google.com/drive/folders/1P1ogiUOsEgEg68bIAzOvs3dH4Y18oBBb?usp=drive_link" TargetMode="External"/><Relationship Id="rId10" Type="http://schemas.openxmlformats.org/officeDocument/2006/relationships/hyperlink" Target="https://drive.google.com/drive/folders/1Our4M7DHBcawMtz41s2_XmS-upycz-iz?usp=drive_link" TargetMode="External"/><Relationship Id="rId4" Type="http://schemas.openxmlformats.org/officeDocument/2006/relationships/hyperlink" Target="https://drive.google.com/drive/folders/1lBAtaI1g5eubQEjcLyIwKNZ5iFdc0if3?usp=drive_link" TargetMode="External"/><Relationship Id="rId9" Type="http://schemas.openxmlformats.org/officeDocument/2006/relationships/hyperlink" Target="https://drive.google.com/drive/folders/1luK3Q9bunxpYb_EDUVp-L1NrtbmEQpH-?usp=drive_link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LryBQIZ27-M5Iky3yKEME3fEhFKrp-m0/view?usp=drive_link" TargetMode="External"/><Relationship Id="rId18" Type="http://schemas.openxmlformats.org/officeDocument/2006/relationships/hyperlink" Target="https://drive.google.com/file/d/1iqz9LcisWLSqIrjt8ACIcVyY56HTCKad/view?usp=drive_link" TargetMode="External"/><Relationship Id="rId26" Type="http://schemas.openxmlformats.org/officeDocument/2006/relationships/hyperlink" Target="https://drive.google.com/file/d/1nZSoN3tmT5vIzdN5cX7rXMAJKNkT_tG8/view?usp=drive_link" TargetMode="External"/><Relationship Id="rId39" Type="http://schemas.openxmlformats.org/officeDocument/2006/relationships/hyperlink" Target="https://drive.google.com/file/d/15Mexgek8IKloNUD3_iO-0htXfyg1hbX3/view?usp=drive_link" TargetMode="External"/><Relationship Id="rId21" Type="http://schemas.openxmlformats.org/officeDocument/2006/relationships/hyperlink" Target="https://drive.google.com/file/d/1XkdpuB0-0gBW8qsxxMYc1cTBQB1eTtTZ/view?usp=drive_link" TargetMode="External"/><Relationship Id="rId34" Type="http://schemas.openxmlformats.org/officeDocument/2006/relationships/hyperlink" Target="https://drive.google.com/file/d/1IZxi2LTf3BYD1tWwxz1tQLfHC94YwrDM/view?usp=drive_link" TargetMode="External"/><Relationship Id="rId42" Type="http://schemas.openxmlformats.org/officeDocument/2006/relationships/hyperlink" Target="https://drive.google.com/file/d/1M3gbeWVbUkOcP51uTc2LSrNRhBU2JHCN/view?usp=drive_link" TargetMode="External"/><Relationship Id="rId47" Type="http://schemas.openxmlformats.org/officeDocument/2006/relationships/hyperlink" Target="https://drive.google.com/file/d/13_u-3yQYCNi8X7QYSwBa062nvwLuyPdq/view?usp=drive_link" TargetMode="External"/><Relationship Id="rId50" Type="http://schemas.openxmlformats.org/officeDocument/2006/relationships/hyperlink" Target="https://drive.google.com/file/d/1q9BzSFkSjxl6yQJ-weJ7s8Jzk19Z8aRl/view?usp=drive_link" TargetMode="External"/><Relationship Id="rId55" Type="http://schemas.openxmlformats.org/officeDocument/2006/relationships/hyperlink" Target="https://drive.google.com/file/d/11QYIIkWo85_qNvhWkteFBXri1txZr4Tq/view?usp=drive_link" TargetMode="External"/><Relationship Id="rId7" Type="http://schemas.openxmlformats.org/officeDocument/2006/relationships/hyperlink" Target="https://drive.google.com/file/d/1iQPXOVuI3NLPrJlcZJKrrZMzD2941Fqn/view?usp=drive_link" TargetMode="External"/><Relationship Id="rId2" Type="http://schemas.openxmlformats.org/officeDocument/2006/relationships/hyperlink" Target="https://drive.google.com/file/d/1Kxunbuf-1xueUgUlU2Mv932wYxbOW6TA/view?usp=drive_link" TargetMode="External"/><Relationship Id="rId16" Type="http://schemas.openxmlformats.org/officeDocument/2006/relationships/hyperlink" Target="https://drive.google.com/file/d/1LaZ7RawQiDcGtWdV4mCqLELBxwvFm_c-/view?usp=drive_link" TargetMode="External"/><Relationship Id="rId29" Type="http://schemas.openxmlformats.org/officeDocument/2006/relationships/hyperlink" Target="https://drive.google.com/file/d/1tE-EyR_W6iMGdGIhAUWdGQ2Sj-JInTnL/view?usp=drive_link" TargetMode="External"/><Relationship Id="rId11" Type="http://schemas.openxmlformats.org/officeDocument/2006/relationships/hyperlink" Target="https://drive.google.com/file/d/1GrV0laEV8JIoNw9V685khOm0yVUBQZYV/view?usp=drive_link" TargetMode="External"/><Relationship Id="rId24" Type="http://schemas.openxmlformats.org/officeDocument/2006/relationships/hyperlink" Target="https://drive.google.com/file/d/1RQGj3QBg8vTVdKduBoN-y9sgOx2knmo1/view?usp=drive_link" TargetMode="External"/><Relationship Id="rId32" Type="http://schemas.openxmlformats.org/officeDocument/2006/relationships/hyperlink" Target="https://drive.google.com/file/d/1ayAIKxviWY8hQ6bLhvPkwRinXIsHvvuG/view?usp=drive_link" TargetMode="External"/><Relationship Id="rId37" Type="http://schemas.openxmlformats.org/officeDocument/2006/relationships/hyperlink" Target="https://drive.google.com/file/d/1aQ5qdxLBOJMQj4BMAHEr8_7DiuDR5ye9/view?usp=drive_link" TargetMode="External"/><Relationship Id="rId40" Type="http://schemas.openxmlformats.org/officeDocument/2006/relationships/hyperlink" Target="https://drive.google.com/file/d/1e3qw-7n6-8HtlcJyUAizqx77Q6f5e-ui/view?usp=drive_link" TargetMode="External"/><Relationship Id="rId45" Type="http://schemas.openxmlformats.org/officeDocument/2006/relationships/hyperlink" Target="https://drive.google.com/file/d/1zty4AFxSWENbDSZrHXH4ltt-NRNZMWVM/view?usp=drive_link" TargetMode="External"/><Relationship Id="rId53" Type="http://schemas.openxmlformats.org/officeDocument/2006/relationships/hyperlink" Target="https://drive.google.com/file/d/1mmmjq4J60WhyhwLMwIqfLs4DnPScM0ks/view?usp=drive_link" TargetMode="External"/><Relationship Id="rId5" Type="http://schemas.openxmlformats.org/officeDocument/2006/relationships/hyperlink" Target="https://drive.google.com/file/d/1O2FhRxb5kSp2hyy4l31R3N2_AQBsEL33/view?usp=drive_link" TargetMode="External"/><Relationship Id="rId10" Type="http://schemas.openxmlformats.org/officeDocument/2006/relationships/hyperlink" Target="https://drive.google.com/file/d/1PQn5CcDTRSUAJ5pqzeU-LMPyY98N3pb3/view?usp=drive_link" TargetMode="External"/><Relationship Id="rId19" Type="http://schemas.openxmlformats.org/officeDocument/2006/relationships/hyperlink" Target="https://drive.google.com/file/d/1rP9-LSA7cZvAy7WTpj7zdMgt-3OAz_Cx/view?usp=drive_link" TargetMode="External"/><Relationship Id="rId31" Type="http://schemas.openxmlformats.org/officeDocument/2006/relationships/hyperlink" Target="https://drive.google.com/file/d/1TqrHDlOySwdBP93Xzx2tZXW4RHIK28eP/view?usp=drive_link" TargetMode="External"/><Relationship Id="rId44" Type="http://schemas.openxmlformats.org/officeDocument/2006/relationships/hyperlink" Target="https://drive.google.com/file/d/1JCZ09Rz7Ug_BagO0jTYxhaOdUcrwkOQQ/view?usp=drive_link" TargetMode="External"/><Relationship Id="rId52" Type="http://schemas.openxmlformats.org/officeDocument/2006/relationships/hyperlink" Target="https://drive.google.com/file/d/1ljVZdJAPN_K5vng9aI8912p8WKM211NO/view?usp=drive_link" TargetMode="External"/><Relationship Id="rId4" Type="http://schemas.openxmlformats.org/officeDocument/2006/relationships/hyperlink" Target="https://drive.google.com/file/d/1Y0rE4ywP4Wf0Gs8wfExraWXa-Ne9xbTi/view?usp=drive_link" TargetMode="External"/><Relationship Id="rId9" Type="http://schemas.openxmlformats.org/officeDocument/2006/relationships/hyperlink" Target="https://drive.google.com/file/d/1j1A-i8H6t9BbsiVJt2oE3SJYodp0_CHA/view?usp=drive_link" TargetMode="External"/><Relationship Id="rId14" Type="http://schemas.openxmlformats.org/officeDocument/2006/relationships/hyperlink" Target="https://drive.google.com/file/d/1VT9h4LAY2mYojX6CTiEkayy6Rdouvtyr/view?usp=drive_link" TargetMode="External"/><Relationship Id="rId22" Type="http://schemas.openxmlformats.org/officeDocument/2006/relationships/hyperlink" Target="https://drive.google.com/file/d/1i2F-3PQ7By6l2dtpTy1KCKXKY_5ntFsK/view?usp=drive_link" TargetMode="External"/><Relationship Id="rId27" Type="http://schemas.openxmlformats.org/officeDocument/2006/relationships/hyperlink" Target="https://drive.google.com/file/d/1jUPDjLGwGoCaAc6zps6knngFgU7TcxFG/view?usp=drive_link" TargetMode="External"/><Relationship Id="rId30" Type="http://schemas.openxmlformats.org/officeDocument/2006/relationships/hyperlink" Target="https://drive.google.com/file/d/1-94aMpbPMyfit_L9u7__Fh0TJgw9IKQw/view?usp=drive_link" TargetMode="External"/><Relationship Id="rId35" Type="http://schemas.openxmlformats.org/officeDocument/2006/relationships/hyperlink" Target="https://drive.google.com/file/d/1sca1LyZIb-n0m4WuDR6PlziNDO2OLu3W/view?usp=drive_link" TargetMode="External"/><Relationship Id="rId43" Type="http://schemas.openxmlformats.org/officeDocument/2006/relationships/hyperlink" Target="https://drive.google.com/file/d/1CB_XJAhSNvLoVM-RhgnVYkwx5-uhNoUN/view?usp=drive_link" TargetMode="External"/><Relationship Id="rId48" Type="http://schemas.openxmlformats.org/officeDocument/2006/relationships/hyperlink" Target="https://drive.google.com/file/d/1B47dAT0aMdFCGE1-PY5r1fJ8DLNHxiuI/view?usp=drive_link" TargetMode="External"/><Relationship Id="rId8" Type="http://schemas.openxmlformats.org/officeDocument/2006/relationships/hyperlink" Target="https://drive.google.com/file/d/13-QuTG718ih3v1xovN29n03IRRsbYx3Y/view?usp=drive_link" TargetMode="External"/><Relationship Id="rId51" Type="http://schemas.openxmlformats.org/officeDocument/2006/relationships/hyperlink" Target="https://drive.google.com/file/d/1bEgUAQOXMBkxBqFIQLpYjSgNSMLH4V6V/view?usp=drive_link" TargetMode="External"/><Relationship Id="rId3" Type="http://schemas.openxmlformats.org/officeDocument/2006/relationships/hyperlink" Target="https://drive.google.com/file/d/1XnrLP4Z566sBFn3-OPnBuvLK81Bb7WP0/view?usp=drive_link" TargetMode="External"/><Relationship Id="rId12" Type="http://schemas.openxmlformats.org/officeDocument/2006/relationships/hyperlink" Target="https://drive.google.com/file/d/1ndJEfsntEM4r6J3RwngFlFyJl5cQvsRb/view?usp=drive_link" TargetMode="External"/><Relationship Id="rId17" Type="http://schemas.openxmlformats.org/officeDocument/2006/relationships/hyperlink" Target="https://drive.google.com/file/d/1bOSMaoiORIx1AJxg6K0VuHu7luhYdmnd/view?usp=drive_link" TargetMode="External"/><Relationship Id="rId25" Type="http://schemas.openxmlformats.org/officeDocument/2006/relationships/hyperlink" Target="https://drive.google.com/file/d/1x86SG8SXXKwPiNna0fk0TUDaKn3y1frv/view?usp=drive_link" TargetMode="External"/><Relationship Id="rId33" Type="http://schemas.openxmlformats.org/officeDocument/2006/relationships/hyperlink" Target="https://drive.google.com/file/d/1QC8oynHtZKaZd4OVZSLHz1YK5jzjLynj/view?usp=drive_link" TargetMode="External"/><Relationship Id="rId38" Type="http://schemas.openxmlformats.org/officeDocument/2006/relationships/hyperlink" Target="https://drive.google.com/file/d/1Ga4f05PSlounPvLszRCAvetsiYLfQ1A_/view?usp=drive_link" TargetMode="External"/><Relationship Id="rId46" Type="http://schemas.openxmlformats.org/officeDocument/2006/relationships/hyperlink" Target="https://drive.google.com/file/d/1YffZP6XFy1Wqn6Ycskq3T5IKJfrzK1T0/view?usp=drive_link" TargetMode="External"/><Relationship Id="rId20" Type="http://schemas.openxmlformats.org/officeDocument/2006/relationships/hyperlink" Target="https://drive.google.com/file/d/1nPx3XLIeR5hPDqOe8paP7C1BtfxRTvNG/view?usp=drive_link" TargetMode="External"/><Relationship Id="rId41" Type="http://schemas.openxmlformats.org/officeDocument/2006/relationships/hyperlink" Target="https://drive.google.com/file/d/1gt7ptQRz0sDeeWGSsJqbf1Xtcm3hMT1o/view?usp=drive_link" TargetMode="External"/><Relationship Id="rId54" Type="http://schemas.openxmlformats.org/officeDocument/2006/relationships/hyperlink" Target="https://drive.google.com/file/d/1CzcWqHMmFETx1QDLg6NwXG-K_0wBhrdS/view?usp=drive_link" TargetMode="External"/><Relationship Id="rId1" Type="http://schemas.openxmlformats.org/officeDocument/2006/relationships/hyperlink" Target="https://drive.google.com/file/d/1fx3QSdbXat_msLf2wy_oKTqJYthzIT5T/view?usp=drive_link" TargetMode="External"/><Relationship Id="rId6" Type="http://schemas.openxmlformats.org/officeDocument/2006/relationships/hyperlink" Target="https://drive.google.com/file/d/1dRX8rMabUY624IbqohlpVtub9Ii356yP/view?usp=drive_link" TargetMode="External"/><Relationship Id="rId15" Type="http://schemas.openxmlformats.org/officeDocument/2006/relationships/hyperlink" Target="https://drive.google.com/file/d/1iAeWtcfGszJsZqghaB75A5488c96gnQX/view?usp=drive_link" TargetMode="External"/><Relationship Id="rId23" Type="http://schemas.openxmlformats.org/officeDocument/2006/relationships/hyperlink" Target="https://drive.google.com/file/d/1Tacw34XbAIwVdsePaTdCoW01AdQdQOSm/view?usp=drive_link" TargetMode="External"/><Relationship Id="rId28" Type="http://schemas.openxmlformats.org/officeDocument/2006/relationships/hyperlink" Target="https://drive.google.com/file/d/1aiGaSPgFZzf3Z6YiG9xcbyC8smwG9BTy/view?usp=drive_link" TargetMode="External"/><Relationship Id="rId36" Type="http://schemas.openxmlformats.org/officeDocument/2006/relationships/hyperlink" Target="https://drive.google.com/file/d/1RzhSDb074c2yDjAeal4hGd7GhPP-9dD_/view?usp=drive_link" TargetMode="External"/><Relationship Id="rId49" Type="http://schemas.openxmlformats.org/officeDocument/2006/relationships/hyperlink" Target="https://drive.google.com/file/d/1_qklQ6lKiM2FXd0cmBz3qEv72h93_fm0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00"/>
  <sheetViews>
    <sheetView tabSelected="1" workbookViewId="0">
      <selection activeCell="M31" sqref="M31"/>
    </sheetView>
  </sheetViews>
  <sheetFormatPr baseColWidth="10" defaultColWidth="12.6640625" defaultRowHeight="15.75" customHeight="1" x14ac:dyDescent="0.15"/>
  <cols>
    <col min="1" max="1" width="2.83203125" customWidth="1"/>
    <col min="2" max="2" width="4.5" customWidth="1"/>
    <col min="4" max="4" width="9.6640625" customWidth="1"/>
    <col min="5" max="5" width="7.5" customWidth="1"/>
    <col min="6" max="6" width="8" customWidth="1"/>
    <col min="7" max="7" width="7.33203125" customWidth="1"/>
    <col min="8" max="8" width="11.6640625" customWidth="1"/>
    <col min="9" max="9" width="12.1640625" customWidth="1"/>
    <col min="10" max="10" width="11.33203125" customWidth="1"/>
    <col min="12" max="12" width="11" customWidth="1"/>
    <col min="14" max="14" width="9.6640625" customWidth="1"/>
    <col min="15" max="15" width="7.5" customWidth="1"/>
    <col min="16" max="16" width="9.1640625" customWidth="1"/>
    <col min="17" max="17" width="9.6640625" customWidth="1"/>
    <col min="18" max="18" width="10.5" customWidth="1"/>
    <col min="20" max="20" width="9.5" customWidth="1"/>
    <col min="21" max="21" width="15.6640625" customWidth="1"/>
    <col min="22" max="23" width="17.83203125" customWidth="1"/>
    <col min="24" max="24" width="17.1640625" customWidth="1"/>
    <col min="25" max="25" width="16.6640625" customWidth="1"/>
    <col min="26" max="26" width="18.6640625" customWidth="1"/>
    <col min="27" max="27" width="17.5" customWidth="1"/>
    <col min="28" max="28" width="16" customWidth="1"/>
    <col min="29" max="29" width="11.5" customWidth="1"/>
    <col min="30" max="30" width="7.6640625" customWidth="1"/>
    <col min="31" max="31" width="14.6640625" customWidth="1"/>
  </cols>
  <sheetData>
    <row r="1" spans="1:32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0" t="s">
        <v>0</v>
      </c>
      <c r="P1" s="21"/>
      <c r="Q1" s="21"/>
      <c r="R1" s="21"/>
      <c r="S1" s="22" t="s">
        <v>1</v>
      </c>
      <c r="T1" s="21"/>
      <c r="U1" s="21"/>
      <c r="V1" s="21"/>
      <c r="W1" s="21"/>
      <c r="X1" s="20" t="s">
        <v>2</v>
      </c>
      <c r="Y1" s="21"/>
      <c r="Z1" s="21"/>
      <c r="AA1" s="21"/>
      <c r="AB1" s="22" t="s">
        <v>3</v>
      </c>
      <c r="AC1" s="21"/>
      <c r="AD1" s="21"/>
      <c r="AE1" s="21"/>
      <c r="AF1" s="1"/>
    </row>
    <row r="2" spans="1:32" ht="15.75" customHeight="1" x14ac:dyDescent="0.15">
      <c r="A2" s="1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3" t="s">
        <v>30</v>
      </c>
      <c r="AC2" s="3" t="s">
        <v>31</v>
      </c>
      <c r="AD2" s="3" t="s">
        <v>32</v>
      </c>
      <c r="AE2" s="3" t="s">
        <v>33</v>
      </c>
      <c r="AF2" s="2" t="s">
        <v>34</v>
      </c>
    </row>
    <row r="3" spans="1:32" ht="15.75" customHeight="1" x14ac:dyDescent="0.15">
      <c r="A3" s="1"/>
      <c r="B3" s="5">
        <v>1</v>
      </c>
      <c r="C3" s="5" t="s">
        <v>35</v>
      </c>
      <c r="D3" s="5" t="s">
        <v>36</v>
      </c>
      <c r="E3" s="5">
        <v>2024</v>
      </c>
      <c r="F3" s="5" t="s">
        <v>37</v>
      </c>
      <c r="G3" s="5"/>
      <c r="H3" s="6">
        <v>17000</v>
      </c>
      <c r="I3" s="5" t="s">
        <v>38</v>
      </c>
      <c r="J3" s="5" t="s">
        <v>39</v>
      </c>
      <c r="K3" s="7" t="s">
        <v>40</v>
      </c>
      <c r="L3" s="5" t="s">
        <v>41</v>
      </c>
      <c r="M3" s="5" t="s">
        <v>42</v>
      </c>
      <c r="N3" s="5" t="s">
        <v>43</v>
      </c>
      <c r="O3" s="8">
        <v>45689</v>
      </c>
      <c r="P3" s="5"/>
      <c r="Q3" s="5"/>
      <c r="R3" s="5"/>
      <c r="S3" s="5"/>
      <c r="T3" s="5"/>
      <c r="U3" s="5"/>
      <c r="V3" s="5"/>
      <c r="W3" s="5"/>
      <c r="X3" s="5" t="s">
        <v>44</v>
      </c>
      <c r="Y3" s="5"/>
      <c r="Z3" s="5"/>
      <c r="AA3" s="5"/>
      <c r="AB3" s="5"/>
      <c r="AC3" s="5"/>
      <c r="AD3" s="5"/>
      <c r="AE3" s="5"/>
      <c r="AF3" s="9" t="s">
        <v>45</v>
      </c>
    </row>
    <row r="4" spans="1:32" ht="15.75" customHeight="1" x14ac:dyDescent="0.15">
      <c r="A4" s="1"/>
      <c r="B4" s="11">
        <v>2</v>
      </c>
      <c r="C4" s="11" t="s">
        <v>35</v>
      </c>
      <c r="D4" s="11" t="s">
        <v>46</v>
      </c>
      <c r="E4" s="11">
        <v>2024</v>
      </c>
      <c r="F4" s="11" t="s">
        <v>37</v>
      </c>
      <c r="G4" s="11"/>
      <c r="H4" s="12">
        <v>21000</v>
      </c>
      <c r="I4" s="11" t="s">
        <v>38</v>
      </c>
      <c r="J4" s="11" t="s">
        <v>39</v>
      </c>
      <c r="K4" s="13" t="s">
        <v>47</v>
      </c>
      <c r="L4" s="11" t="s">
        <v>41</v>
      </c>
      <c r="M4" s="11" t="s">
        <v>42</v>
      </c>
      <c r="N4" s="11" t="s">
        <v>48</v>
      </c>
      <c r="O4" s="8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 t="s">
        <v>44</v>
      </c>
      <c r="AD4" s="5"/>
      <c r="AE4" s="5"/>
      <c r="AF4" s="9" t="s">
        <v>49</v>
      </c>
    </row>
    <row r="5" spans="1:32" ht="15.75" customHeight="1" x14ac:dyDescent="0.15">
      <c r="A5" s="1"/>
      <c r="B5" s="11">
        <v>3</v>
      </c>
      <c r="C5" s="11" t="s">
        <v>50</v>
      </c>
      <c r="D5" s="11" t="s">
        <v>51</v>
      </c>
      <c r="E5" s="10">
        <v>2022</v>
      </c>
      <c r="F5" s="11">
        <v>800</v>
      </c>
      <c r="G5" s="11"/>
      <c r="H5" s="14">
        <v>20000</v>
      </c>
      <c r="I5" s="11" t="s">
        <v>52</v>
      </c>
      <c r="J5" s="11" t="s">
        <v>53</v>
      </c>
      <c r="K5" s="13" t="s">
        <v>54</v>
      </c>
      <c r="L5" s="11" t="s">
        <v>41</v>
      </c>
      <c r="M5" s="11" t="s">
        <v>42</v>
      </c>
      <c r="N5" s="11" t="s">
        <v>48</v>
      </c>
      <c r="O5" s="8"/>
      <c r="P5" s="5"/>
      <c r="Q5" s="5"/>
      <c r="R5" s="5"/>
      <c r="S5" s="5"/>
      <c r="T5" s="5"/>
      <c r="U5" s="5"/>
      <c r="V5" s="5"/>
      <c r="W5" s="5"/>
      <c r="X5" s="5" t="s">
        <v>55</v>
      </c>
      <c r="Y5" s="5"/>
      <c r="Z5" s="5" t="s">
        <v>44</v>
      </c>
      <c r="AA5" s="5"/>
      <c r="AB5" s="5"/>
      <c r="AC5" s="5"/>
      <c r="AD5" s="5"/>
      <c r="AE5" s="5"/>
      <c r="AF5" s="9" t="s">
        <v>56</v>
      </c>
    </row>
    <row r="6" spans="1:32" ht="15.75" customHeight="1" x14ac:dyDescent="0.15">
      <c r="A6" s="1"/>
      <c r="B6" s="11">
        <v>4</v>
      </c>
      <c r="C6" s="11" t="s">
        <v>57</v>
      </c>
      <c r="D6" s="11" t="s">
        <v>58</v>
      </c>
      <c r="E6" s="10">
        <v>2018</v>
      </c>
      <c r="F6" s="11" t="s">
        <v>59</v>
      </c>
      <c r="G6" s="11">
        <v>1</v>
      </c>
      <c r="H6" s="14">
        <v>173000</v>
      </c>
      <c r="I6" s="11" t="s">
        <v>60</v>
      </c>
      <c r="J6" s="11" t="s">
        <v>53</v>
      </c>
      <c r="K6" s="13" t="s">
        <v>61</v>
      </c>
      <c r="L6" s="11"/>
      <c r="M6" s="11" t="s">
        <v>62</v>
      </c>
      <c r="N6" s="11" t="s">
        <v>48</v>
      </c>
      <c r="O6" s="8"/>
      <c r="P6" s="5"/>
      <c r="Q6" s="5"/>
      <c r="R6" s="5"/>
      <c r="S6" s="5"/>
      <c r="T6" s="5"/>
      <c r="U6" s="5"/>
      <c r="V6" s="5"/>
      <c r="W6" s="5"/>
      <c r="X6" s="5" t="s">
        <v>44</v>
      </c>
      <c r="Y6" s="5"/>
      <c r="Z6" s="5" t="s">
        <v>44</v>
      </c>
      <c r="AA6" s="5"/>
      <c r="AB6" s="5"/>
      <c r="AC6" s="5"/>
      <c r="AD6" s="5"/>
      <c r="AE6" s="5"/>
      <c r="AF6" s="9" t="s">
        <v>63</v>
      </c>
    </row>
    <row r="7" spans="1:32" ht="15.75" customHeight="1" x14ac:dyDescent="0.15">
      <c r="A7" s="1"/>
      <c r="B7" s="5">
        <v>5</v>
      </c>
      <c r="C7" s="5" t="s">
        <v>64</v>
      </c>
      <c r="D7" s="5" t="s">
        <v>65</v>
      </c>
      <c r="E7" s="5">
        <v>2016</v>
      </c>
      <c r="F7" s="5" t="s">
        <v>66</v>
      </c>
      <c r="G7" s="5">
        <v>2</v>
      </c>
      <c r="H7" s="6">
        <v>175000</v>
      </c>
      <c r="I7" s="5"/>
      <c r="J7" s="5" t="s">
        <v>39</v>
      </c>
      <c r="K7" s="7" t="s">
        <v>67</v>
      </c>
      <c r="L7" s="5" t="s">
        <v>68</v>
      </c>
      <c r="M7" s="5" t="s">
        <v>62</v>
      </c>
      <c r="N7" s="5" t="s">
        <v>43</v>
      </c>
      <c r="O7" s="8">
        <v>45690</v>
      </c>
      <c r="P7" s="5">
        <v>170</v>
      </c>
      <c r="Q7" s="5"/>
      <c r="R7" s="5"/>
      <c r="S7" s="5"/>
      <c r="T7" s="5"/>
      <c r="U7" s="5"/>
      <c r="V7" s="5"/>
      <c r="W7" s="5"/>
      <c r="X7" s="5" t="s">
        <v>44</v>
      </c>
      <c r="Y7" s="5"/>
      <c r="Z7" s="5" t="s">
        <v>44</v>
      </c>
      <c r="AA7" s="5"/>
      <c r="AB7" s="5"/>
      <c r="AC7" s="5"/>
      <c r="AD7" s="5"/>
      <c r="AE7" s="5"/>
      <c r="AF7" s="9" t="s">
        <v>69</v>
      </c>
    </row>
    <row r="8" spans="1:32" ht="15.75" customHeight="1" x14ac:dyDescent="0.15">
      <c r="A8" s="1"/>
      <c r="B8" s="5">
        <v>6</v>
      </c>
      <c r="C8" s="5" t="s">
        <v>70</v>
      </c>
      <c r="D8" s="5" t="s">
        <v>71</v>
      </c>
      <c r="E8" s="5">
        <v>2013</v>
      </c>
      <c r="F8" s="5"/>
      <c r="G8" s="5"/>
      <c r="H8" s="6">
        <v>222000</v>
      </c>
      <c r="I8" s="5" t="s">
        <v>38</v>
      </c>
      <c r="J8" s="5" t="s">
        <v>39</v>
      </c>
      <c r="K8" s="7" t="s">
        <v>72</v>
      </c>
      <c r="L8" s="5" t="s">
        <v>41</v>
      </c>
      <c r="M8" s="5" t="s">
        <v>62</v>
      </c>
      <c r="N8" s="5" t="s">
        <v>43</v>
      </c>
      <c r="O8" s="4" t="s">
        <v>73</v>
      </c>
      <c r="P8" s="5">
        <v>150</v>
      </c>
      <c r="Q8" s="5"/>
      <c r="R8" s="5"/>
      <c r="S8" s="5"/>
      <c r="T8" s="5"/>
      <c r="U8" s="5"/>
      <c r="V8" s="5"/>
      <c r="W8" s="5"/>
      <c r="X8" s="5" t="s">
        <v>44</v>
      </c>
      <c r="Y8" s="5"/>
      <c r="Z8" s="5" t="s">
        <v>44</v>
      </c>
      <c r="AA8" s="5"/>
      <c r="AB8" s="5"/>
      <c r="AC8" s="5"/>
      <c r="AD8" s="5"/>
      <c r="AE8" s="5"/>
      <c r="AF8" s="9" t="s">
        <v>74</v>
      </c>
    </row>
    <row r="9" spans="1:32" ht="15.75" customHeight="1" x14ac:dyDescent="0.15">
      <c r="A9" s="1"/>
      <c r="B9" s="5">
        <v>7</v>
      </c>
      <c r="C9" s="5" t="s">
        <v>75</v>
      </c>
      <c r="D9" s="5" t="s">
        <v>76</v>
      </c>
      <c r="E9" s="5">
        <v>2018</v>
      </c>
      <c r="F9" s="5" t="s">
        <v>59</v>
      </c>
      <c r="G9" s="5">
        <v>2</v>
      </c>
      <c r="H9" s="6">
        <v>150000</v>
      </c>
      <c r="I9" s="5" t="s">
        <v>38</v>
      </c>
      <c r="J9" s="5" t="s">
        <v>39</v>
      </c>
      <c r="K9" s="7" t="s">
        <v>77</v>
      </c>
      <c r="L9" s="5"/>
      <c r="M9" s="5" t="s">
        <v>62</v>
      </c>
      <c r="N9" s="5" t="s">
        <v>43</v>
      </c>
      <c r="O9" s="4"/>
      <c r="P9" s="5">
        <v>355</v>
      </c>
      <c r="Q9" s="5"/>
      <c r="R9" s="5"/>
      <c r="S9" s="5"/>
      <c r="T9" s="5"/>
      <c r="U9" s="5"/>
      <c r="V9" s="5"/>
      <c r="W9" s="5"/>
      <c r="X9" s="5" t="s">
        <v>44</v>
      </c>
      <c r="Y9" s="5"/>
      <c r="Z9" s="5" t="s">
        <v>44</v>
      </c>
      <c r="AA9" s="5"/>
      <c r="AB9" s="5"/>
      <c r="AC9" s="5"/>
      <c r="AD9" s="5"/>
      <c r="AE9" s="5"/>
      <c r="AF9" s="9" t="s">
        <v>78</v>
      </c>
    </row>
    <row r="10" spans="1:32" ht="15.75" customHeight="1" x14ac:dyDescent="0.15">
      <c r="A10" s="1"/>
      <c r="B10" s="5">
        <v>8</v>
      </c>
      <c r="C10" s="5" t="s">
        <v>79</v>
      </c>
      <c r="D10" s="5" t="s">
        <v>80</v>
      </c>
      <c r="E10" s="5">
        <v>2018</v>
      </c>
      <c r="F10" s="5" t="s">
        <v>59</v>
      </c>
      <c r="G10" s="5">
        <v>2</v>
      </c>
      <c r="H10" s="6"/>
      <c r="I10" s="5" t="s">
        <v>81</v>
      </c>
      <c r="J10" s="5" t="s">
        <v>39</v>
      </c>
      <c r="K10" s="7" t="s">
        <v>82</v>
      </c>
      <c r="L10" s="5"/>
      <c r="M10" s="5" t="s">
        <v>42</v>
      </c>
      <c r="N10" s="5" t="s">
        <v>43</v>
      </c>
      <c r="O10" s="4"/>
      <c r="P10" s="5">
        <v>284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9" t="s">
        <v>83</v>
      </c>
    </row>
    <row r="11" spans="1:32" ht="15.75" customHeight="1" x14ac:dyDescent="0.15">
      <c r="A11" s="1"/>
      <c r="B11" s="11">
        <v>9</v>
      </c>
      <c r="C11" s="11" t="s">
        <v>84</v>
      </c>
      <c r="D11" s="11" t="s">
        <v>85</v>
      </c>
      <c r="E11" s="10">
        <v>2016</v>
      </c>
      <c r="F11" s="11" t="s">
        <v>59</v>
      </c>
      <c r="G11" s="11">
        <v>2</v>
      </c>
      <c r="H11" s="14"/>
      <c r="I11" s="11"/>
      <c r="J11" s="11" t="s">
        <v>39</v>
      </c>
      <c r="K11" s="13" t="s">
        <v>86</v>
      </c>
      <c r="L11" s="11"/>
      <c r="M11" s="11" t="s">
        <v>62</v>
      </c>
      <c r="N11" s="11" t="s">
        <v>48</v>
      </c>
      <c r="O11" s="4"/>
      <c r="P11" s="5">
        <v>385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9" t="s">
        <v>87</v>
      </c>
    </row>
    <row r="12" spans="1:32" ht="15.75" customHeight="1" x14ac:dyDescent="0.15">
      <c r="A12" s="1"/>
      <c r="B12" s="5">
        <v>10</v>
      </c>
      <c r="C12" s="5" t="s">
        <v>84</v>
      </c>
      <c r="D12" s="5" t="s">
        <v>88</v>
      </c>
      <c r="E12" s="5">
        <v>2020</v>
      </c>
      <c r="F12" s="5" t="s">
        <v>89</v>
      </c>
      <c r="G12" s="5">
        <v>1</v>
      </c>
      <c r="H12" s="6"/>
      <c r="I12" s="5"/>
      <c r="J12" s="5" t="s">
        <v>39</v>
      </c>
      <c r="K12" s="7" t="s">
        <v>90</v>
      </c>
      <c r="L12" s="5" t="s">
        <v>91</v>
      </c>
      <c r="M12" s="5" t="s">
        <v>92</v>
      </c>
      <c r="N12" s="5" t="s">
        <v>43</v>
      </c>
      <c r="O12" s="4" t="s">
        <v>73</v>
      </c>
      <c r="P12" s="5">
        <v>188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9" t="s">
        <v>93</v>
      </c>
    </row>
    <row r="13" spans="1:32" ht="15.75" customHeight="1" x14ac:dyDescent="0.15">
      <c r="A13" s="1"/>
      <c r="B13" s="11">
        <v>11</v>
      </c>
      <c r="C13" s="11" t="s">
        <v>35</v>
      </c>
      <c r="D13" s="11" t="s">
        <v>94</v>
      </c>
      <c r="E13" s="10">
        <v>2022</v>
      </c>
      <c r="F13" s="11" t="s">
        <v>59</v>
      </c>
      <c r="G13" s="11">
        <v>2</v>
      </c>
      <c r="H13" s="14">
        <v>43000</v>
      </c>
      <c r="I13" s="11"/>
      <c r="J13" s="11" t="s">
        <v>53</v>
      </c>
      <c r="K13" s="13" t="s">
        <v>95</v>
      </c>
      <c r="L13" s="11" t="s">
        <v>41</v>
      </c>
      <c r="M13" s="11" t="s">
        <v>62</v>
      </c>
      <c r="N13" s="11" t="s">
        <v>48</v>
      </c>
      <c r="O13" s="5"/>
      <c r="P13" s="5"/>
      <c r="Q13" s="5"/>
      <c r="R13" s="5"/>
      <c r="S13" s="5" t="s">
        <v>44</v>
      </c>
      <c r="T13" s="5"/>
      <c r="U13" s="5"/>
      <c r="V13" s="5"/>
      <c r="W13" s="5"/>
      <c r="X13" s="5"/>
      <c r="Y13" s="5"/>
      <c r="Z13" s="5" t="s">
        <v>44</v>
      </c>
      <c r="AA13" s="5" t="s">
        <v>44</v>
      </c>
      <c r="AB13" s="5"/>
      <c r="AC13" s="5"/>
      <c r="AD13" s="5"/>
      <c r="AE13" s="5"/>
      <c r="AF13" s="9" t="s">
        <v>96</v>
      </c>
    </row>
    <row r="14" spans="1:32" ht="15.75" customHeight="1" x14ac:dyDescent="0.15">
      <c r="A14" s="1"/>
      <c r="B14" s="11">
        <v>12</v>
      </c>
      <c r="C14" s="11" t="s">
        <v>98</v>
      </c>
      <c r="D14" s="11" t="s">
        <v>99</v>
      </c>
      <c r="E14" s="10">
        <v>2011</v>
      </c>
      <c r="F14" s="11"/>
      <c r="G14" s="11"/>
      <c r="H14" s="14">
        <v>109000</v>
      </c>
      <c r="I14" s="11"/>
      <c r="J14" s="11" t="s">
        <v>53</v>
      </c>
      <c r="K14" s="13">
        <v>4490000</v>
      </c>
      <c r="L14" s="11" t="s">
        <v>41</v>
      </c>
      <c r="M14" s="11" t="s">
        <v>42</v>
      </c>
      <c r="N14" s="11" t="s">
        <v>48</v>
      </c>
      <c r="O14" s="8">
        <v>45809</v>
      </c>
      <c r="P14" s="5"/>
      <c r="Q14" s="5"/>
      <c r="R14" s="5"/>
      <c r="S14" s="5" t="s">
        <v>44</v>
      </c>
      <c r="T14" s="5"/>
      <c r="U14" s="5" t="s">
        <v>44</v>
      </c>
      <c r="V14" s="5"/>
      <c r="W14" s="5"/>
      <c r="X14" s="5" t="s">
        <v>44</v>
      </c>
      <c r="Y14" s="5"/>
      <c r="Z14" s="5" t="s">
        <v>44</v>
      </c>
      <c r="AA14" s="5" t="s">
        <v>44</v>
      </c>
      <c r="AB14" s="5"/>
      <c r="AC14" s="5"/>
      <c r="AD14" s="5"/>
      <c r="AE14" s="5"/>
      <c r="AF14" s="9" t="s">
        <v>100</v>
      </c>
    </row>
    <row r="15" spans="1:32" ht="15.75" customHeight="1" x14ac:dyDescent="0.15">
      <c r="A15" s="1"/>
      <c r="B15" s="5">
        <v>13</v>
      </c>
      <c r="C15" s="5" t="s">
        <v>101</v>
      </c>
      <c r="D15" s="5" t="s">
        <v>102</v>
      </c>
      <c r="E15" s="5">
        <v>2019</v>
      </c>
      <c r="F15" s="5" t="s">
        <v>103</v>
      </c>
      <c r="G15" s="5"/>
      <c r="H15" s="6">
        <v>80000</v>
      </c>
      <c r="I15" s="5"/>
      <c r="J15" s="5" t="s">
        <v>39</v>
      </c>
      <c r="K15" s="7" t="s">
        <v>104</v>
      </c>
      <c r="L15" s="5" t="s">
        <v>41</v>
      </c>
      <c r="M15" s="5" t="s">
        <v>62</v>
      </c>
      <c r="N15" s="5" t="s">
        <v>43</v>
      </c>
      <c r="O15" s="5" t="s">
        <v>73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1"/>
    </row>
    <row r="16" spans="1:32" ht="15.75" customHeight="1" x14ac:dyDescent="0.15">
      <c r="A16" s="1"/>
      <c r="B16" s="5">
        <v>14</v>
      </c>
      <c r="C16" s="5" t="s">
        <v>105</v>
      </c>
      <c r="D16" s="5" t="s">
        <v>106</v>
      </c>
      <c r="E16" s="5">
        <v>2024</v>
      </c>
      <c r="F16" s="5" t="s">
        <v>59</v>
      </c>
      <c r="G16" s="5">
        <v>1</v>
      </c>
      <c r="H16" s="6">
        <v>60000</v>
      </c>
      <c r="I16" s="5"/>
      <c r="J16" s="5" t="s">
        <v>39</v>
      </c>
      <c r="K16" s="7" t="s">
        <v>107</v>
      </c>
      <c r="L16" s="5" t="s">
        <v>41</v>
      </c>
      <c r="M16" s="5" t="s">
        <v>108</v>
      </c>
      <c r="N16" s="5" t="s">
        <v>43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1"/>
    </row>
    <row r="17" spans="1:32" ht="15.75" customHeight="1" x14ac:dyDescent="0.15">
      <c r="A17" s="1"/>
      <c r="B17" s="5">
        <v>15</v>
      </c>
      <c r="C17" s="5" t="s">
        <v>109</v>
      </c>
      <c r="D17" s="5" t="s">
        <v>110</v>
      </c>
      <c r="E17" s="5">
        <v>2017</v>
      </c>
      <c r="F17" s="5" t="s">
        <v>59</v>
      </c>
      <c r="G17" s="5">
        <v>1</v>
      </c>
      <c r="H17" s="5">
        <v>90000</v>
      </c>
      <c r="I17" s="5"/>
      <c r="J17" s="5"/>
      <c r="K17" s="7" t="s">
        <v>111</v>
      </c>
      <c r="L17" s="5" t="s">
        <v>41</v>
      </c>
      <c r="M17" s="5" t="s">
        <v>62</v>
      </c>
      <c r="N17" s="5" t="s">
        <v>43</v>
      </c>
      <c r="O17" s="8">
        <v>45749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1"/>
    </row>
    <row r="18" spans="1:32" ht="15.75" customHeight="1" x14ac:dyDescent="0.15">
      <c r="A18" s="1"/>
      <c r="B18" s="5">
        <v>16</v>
      </c>
      <c r="C18" s="5" t="s">
        <v>112</v>
      </c>
      <c r="D18" s="5" t="s">
        <v>80</v>
      </c>
      <c r="E18" s="5">
        <v>2003</v>
      </c>
      <c r="F18" s="5"/>
      <c r="G18" s="5"/>
      <c r="H18" s="5">
        <v>240000</v>
      </c>
      <c r="I18" s="5"/>
      <c r="J18" s="5" t="s">
        <v>39</v>
      </c>
      <c r="K18" s="7">
        <v>10500000</v>
      </c>
      <c r="L18" s="5"/>
      <c r="M18" s="5"/>
      <c r="N18" s="5" t="s">
        <v>43</v>
      </c>
      <c r="O18" s="8">
        <v>45780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1"/>
    </row>
    <row r="19" spans="1:32" ht="15.75" customHeight="1" x14ac:dyDescent="0.15">
      <c r="A19" s="1"/>
      <c r="B19" s="5">
        <v>17</v>
      </c>
      <c r="C19" s="5" t="s">
        <v>97</v>
      </c>
      <c r="D19" s="5" t="s">
        <v>113</v>
      </c>
      <c r="E19" s="5">
        <v>2019</v>
      </c>
      <c r="F19" s="5"/>
      <c r="G19" s="5"/>
      <c r="H19" s="5"/>
      <c r="I19" s="5"/>
      <c r="J19" s="5"/>
      <c r="K19" s="7">
        <v>16890000</v>
      </c>
      <c r="L19" s="5"/>
      <c r="M19" s="5"/>
      <c r="N19" s="5" t="s">
        <v>43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1"/>
    </row>
    <row r="20" spans="1:32" ht="15.75" customHeight="1" x14ac:dyDescent="0.15">
      <c r="A20" s="1"/>
      <c r="B20" s="5">
        <v>18</v>
      </c>
      <c r="C20" s="5" t="s">
        <v>79</v>
      </c>
      <c r="D20" s="5" t="s">
        <v>114</v>
      </c>
      <c r="E20" s="5">
        <v>2021</v>
      </c>
      <c r="F20" s="5"/>
      <c r="G20" s="5"/>
      <c r="H20" s="5"/>
      <c r="I20" s="5"/>
      <c r="J20" s="5"/>
      <c r="K20" s="7">
        <v>13750000</v>
      </c>
      <c r="L20" s="5"/>
      <c r="M20" s="5"/>
      <c r="N20" s="5" t="s">
        <v>43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1"/>
    </row>
    <row r="21" spans="1:32" ht="15.75" customHeight="1" x14ac:dyDescent="0.15">
      <c r="A21" s="1"/>
      <c r="B21" s="11">
        <v>19</v>
      </c>
      <c r="C21" s="11" t="s">
        <v>98</v>
      </c>
      <c r="D21" s="11" t="s">
        <v>99</v>
      </c>
      <c r="E21" s="10"/>
      <c r="F21" s="11"/>
      <c r="G21" s="11"/>
      <c r="H21" s="14"/>
      <c r="I21" s="11"/>
      <c r="J21" s="11"/>
      <c r="K21" s="13">
        <v>7790000</v>
      </c>
      <c r="L21" s="11"/>
      <c r="M21" s="11"/>
      <c r="N21" s="11" t="s">
        <v>43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1"/>
    </row>
    <row r="22" spans="1:32" ht="15.75" customHeight="1" x14ac:dyDescent="0.15">
      <c r="A22" s="1"/>
      <c r="B22" s="5">
        <v>20</v>
      </c>
      <c r="C22" s="5" t="s">
        <v>79</v>
      </c>
      <c r="D22" s="5" t="s">
        <v>80</v>
      </c>
      <c r="E22" s="5">
        <v>1999</v>
      </c>
      <c r="F22" s="5"/>
      <c r="G22" s="5"/>
      <c r="H22" s="5"/>
      <c r="I22" s="5"/>
      <c r="J22" s="5"/>
      <c r="K22" s="7">
        <v>9750000</v>
      </c>
      <c r="L22" s="5"/>
      <c r="M22" s="5"/>
      <c r="N22" s="5" t="s">
        <v>43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1"/>
    </row>
    <row r="23" spans="1:32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4">
    <mergeCell ref="O1:R1"/>
    <mergeCell ref="S1:W1"/>
    <mergeCell ref="X1:AA1"/>
    <mergeCell ref="AB1:AE1"/>
  </mergeCells>
  <hyperlinks>
    <hyperlink ref="AF3" r:id="rId1" xr:uid="{00000000-0004-0000-0000-000000000000}"/>
    <hyperlink ref="AF4" r:id="rId2" xr:uid="{00000000-0004-0000-0000-000001000000}"/>
    <hyperlink ref="AF5" r:id="rId3" xr:uid="{00000000-0004-0000-0000-000002000000}"/>
    <hyperlink ref="AF6" r:id="rId4" xr:uid="{00000000-0004-0000-0000-000003000000}"/>
    <hyperlink ref="AF7" r:id="rId5" xr:uid="{00000000-0004-0000-0000-000004000000}"/>
    <hyperlink ref="AF8" r:id="rId6" xr:uid="{00000000-0004-0000-0000-000005000000}"/>
    <hyperlink ref="AF9" r:id="rId7" xr:uid="{00000000-0004-0000-0000-000006000000}"/>
    <hyperlink ref="AF10" r:id="rId8" xr:uid="{00000000-0004-0000-0000-000007000000}"/>
    <hyperlink ref="AF11" r:id="rId9" xr:uid="{00000000-0004-0000-0000-000008000000}"/>
    <hyperlink ref="AF12" r:id="rId10" xr:uid="{00000000-0004-0000-0000-000009000000}"/>
    <hyperlink ref="AF13" r:id="rId11" xr:uid="{00000000-0004-0000-0000-00000A000000}"/>
    <hyperlink ref="AF14" r:id="rId12" xr:uid="{00000000-0004-0000-0000-00000B000000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 x14ac:dyDescent="0.15"/>
  <cols>
    <col min="1" max="1" width="6.6640625" customWidth="1"/>
    <col min="2" max="2" width="4.1640625" customWidth="1"/>
    <col min="5" max="5" width="7.33203125" customWidth="1"/>
    <col min="6" max="6" width="26.6640625" customWidth="1"/>
    <col min="7" max="7" width="27.1640625" customWidth="1"/>
    <col min="8" max="8" width="25.33203125" customWidth="1"/>
    <col min="9" max="9" width="26.33203125" customWidth="1"/>
    <col min="10" max="10" width="29.1640625" customWidth="1"/>
    <col min="11" max="11" width="63.1640625" customWidth="1"/>
  </cols>
  <sheetData>
    <row r="1" spans="1:26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/>
      <c r="B2" s="2" t="s">
        <v>4</v>
      </c>
      <c r="C2" s="2" t="s">
        <v>5</v>
      </c>
      <c r="D2" s="2" t="s">
        <v>6</v>
      </c>
      <c r="E2" s="2" t="s">
        <v>7</v>
      </c>
      <c r="F2" s="2" t="s">
        <v>115</v>
      </c>
      <c r="G2" s="2" t="s">
        <v>116</v>
      </c>
      <c r="H2" s="2" t="s">
        <v>117</v>
      </c>
      <c r="I2" s="2" t="s">
        <v>118</v>
      </c>
      <c r="J2" s="2" t="s">
        <v>119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4">
        <v>1</v>
      </c>
      <c r="C3" s="5" t="str">
        <f>Características!C3</f>
        <v>Kia</v>
      </c>
      <c r="D3" s="5" t="str">
        <f>Características!D3</f>
        <v>Morning</v>
      </c>
      <c r="E3" s="5">
        <f>Características!E3</f>
        <v>2024</v>
      </c>
      <c r="F3" s="15" t="s">
        <v>120</v>
      </c>
      <c r="G3" s="16" t="s">
        <v>121</v>
      </c>
      <c r="H3" s="15" t="s">
        <v>122</v>
      </c>
      <c r="I3" s="15" t="s">
        <v>123</v>
      </c>
      <c r="J3" s="17" t="s">
        <v>124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/>
      <c r="B4" s="4">
        <v>2</v>
      </c>
      <c r="C4" s="5" t="str">
        <f>Características!C4</f>
        <v>Kia</v>
      </c>
      <c r="D4" s="5" t="str">
        <f>Características!D4</f>
        <v>Sonet</v>
      </c>
      <c r="E4" s="5">
        <f>Características!E4</f>
        <v>2024</v>
      </c>
      <c r="F4" s="15" t="s">
        <v>125</v>
      </c>
      <c r="G4" s="15" t="s">
        <v>126</v>
      </c>
      <c r="H4" s="15" t="s">
        <v>127</v>
      </c>
      <c r="I4" s="15" t="s">
        <v>128</v>
      </c>
      <c r="J4" s="15" t="s">
        <v>129</v>
      </c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/>
      <c r="B5" s="4">
        <v>3</v>
      </c>
      <c r="C5" s="5" t="str">
        <f>Características!C5</f>
        <v>Suzuki</v>
      </c>
      <c r="D5" s="5" t="str">
        <f>Características!D5</f>
        <v>Alto</v>
      </c>
      <c r="E5" s="5">
        <f>Características!E5</f>
        <v>2022</v>
      </c>
      <c r="F5" s="15" t="s">
        <v>130</v>
      </c>
      <c r="G5" s="15" t="s">
        <v>131</v>
      </c>
      <c r="H5" s="15" t="s">
        <v>132</v>
      </c>
      <c r="I5" s="15" t="s">
        <v>133</v>
      </c>
      <c r="J5" s="15" t="s">
        <v>134</v>
      </c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1"/>
      <c r="B6" s="4">
        <v>4</v>
      </c>
      <c r="C6" s="5" t="str">
        <f>Características!C6</f>
        <v>Hyundai</v>
      </c>
      <c r="D6" s="5" t="str">
        <f>Características!D6</f>
        <v>Tucson</v>
      </c>
      <c r="E6" s="5">
        <f>Características!E6</f>
        <v>2018</v>
      </c>
      <c r="F6" s="15" t="s">
        <v>135</v>
      </c>
      <c r="G6" s="15" t="s">
        <v>136</v>
      </c>
      <c r="H6" s="15" t="s">
        <v>137</v>
      </c>
      <c r="I6" s="15" t="s">
        <v>138</v>
      </c>
      <c r="J6" s="15" t="s">
        <v>139</v>
      </c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1"/>
      <c r="B7" s="4">
        <v>5</v>
      </c>
      <c r="C7" s="5" t="str">
        <f>Características!C7</f>
        <v>Mercedes Benz</v>
      </c>
      <c r="D7" s="5" t="str">
        <f>Características!D7</f>
        <v>GLC</v>
      </c>
      <c r="E7" s="5">
        <f>Características!E7</f>
        <v>2016</v>
      </c>
      <c r="F7" s="15" t="s">
        <v>140</v>
      </c>
      <c r="G7" s="15" t="s">
        <v>141</v>
      </c>
      <c r="H7" s="15" t="s">
        <v>142</v>
      </c>
      <c r="I7" s="15" t="s">
        <v>143</v>
      </c>
      <c r="J7" s="15" t="s">
        <v>144</v>
      </c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1"/>
      <c r="B8" s="4">
        <v>6</v>
      </c>
      <c r="C8" s="5" t="str">
        <f>Características!C8</f>
        <v>Toyota</v>
      </c>
      <c r="D8" s="5" t="str">
        <f>Características!D8</f>
        <v>Avensis</v>
      </c>
      <c r="E8" s="5">
        <f>Características!E8</f>
        <v>2013</v>
      </c>
      <c r="F8" s="15" t="s">
        <v>145</v>
      </c>
      <c r="G8" s="15" t="s">
        <v>146</v>
      </c>
      <c r="H8" s="15" t="s">
        <v>147</v>
      </c>
      <c r="I8" s="15" t="s">
        <v>148</v>
      </c>
      <c r="J8" s="15" t="s">
        <v>149</v>
      </c>
      <c r="K8" s="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1"/>
      <c r="B9" s="4">
        <v>7</v>
      </c>
      <c r="C9" s="5" t="str">
        <f>Características!C9</f>
        <v xml:space="preserve">Chevrolet </v>
      </c>
      <c r="D9" s="5" t="str">
        <f>Características!D9</f>
        <v>Tahoe</v>
      </c>
      <c r="E9" s="5">
        <f>Características!E9</f>
        <v>2018</v>
      </c>
      <c r="F9" s="15" t="s">
        <v>150</v>
      </c>
      <c r="G9" s="15" t="s">
        <v>151</v>
      </c>
      <c r="H9" s="15" t="s">
        <v>152</v>
      </c>
      <c r="I9" s="15" t="s">
        <v>153</v>
      </c>
      <c r="J9" s="15" t="s">
        <v>154</v>
      </c>
      <c r="K9" s="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"/>
      <c r="B10" s="4">
        <v>8</v>
      </c>
      <c r="C10" s="5" t="str">
        <f>Características!C10</f>
        <v>Nissan</v>
      </c>
      <c r="D10" s="5" t="str">
        <f>Características!D10</f>
        <v>Pathfinder</v>
      </c>
      <c r="E10" s="5">
        <f>Características!E10</f>
        <v>2018</v>
      </c>
      <c r="F10" s="15" t="s">
        <v>155</v>
      </c>
      <c r="G10" s="15" t="s">
        <v>156</v>
      </c>
      <c r="H10" s="15" t="s">
        <v>157</v>
      </c>
      <c r="I10" s="15" t="s">
        <v>158</v>
      </c>
      <c r="J10" s="15" t="s">
        <v>159</v>
      </c>
      <c r="K10" s="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1"/>
      <c r="B11" s="4">
        <v>9</v>
      </c>
      <c r="C11" s="5" t="str">
        <f>Características!C11</f>
        <v>Ford</v>
      </c>
      <c r="D11" s="5" t="str">
        <f>Características!D11</f>
        <v>F150 XLT</v>
      </c>
      <c r="E11" s="5">
        <f>Características!E11</f>
        <v>2016</v>
      </c>
      <c r="F11" s="15" t="s">
        <v>160</v>
      </c>
      <c r="G11" s="15" t="s">
        <v>161</v>
      </c>
      <c r="H11" s="15" t="s">
        <v>162</v>
      </c>
      <c r="I11" s="15" t="s">
        <v>163</v>
      </c>
      <c r="J11" s="15" t="s">
        <v>164</v>
      </c>
      <c r="K11" s="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1"/>
      <c r="B12" s="4">
        <v>10</v>
      </c>
      <c r="C12" s="5" t="str">
        <f>Características!C12</f>
        <v>Ford</v>
      </c>
      <c r="D12" s="5" t="str">
        <f>Características!D12</f>
        <v>Fusion</v>
      </c>
      <c r="E12" s="5">
        <f>Características!E12</f>
        <v>2020</v>
      </c>
      <c r="F12" s="15" t="s">
        <v>165</v>
      </c>
      <c r="G12" s="15" t="s">
        <v>166</v>
      </c>
      <c r="H12" s="15" t="s">
        <v>167</v>
      </c>
      <c r="I12" s="15" t="s">
        <v>168</v>
      </c>
      <c r="J12" s="15" t="s">
        <v>169</v>
      </c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1"/>
      <c r="B13" s="4">
        <v>11</v>
      </c>
      <c r="C13" s="5" t="str">
        <f>Características!C13</f>
        <v>Kia</v>
      </c>
      <c r="D13" s="5" t="str">
        <f>Características!D13</f>
        <v>Soluto</v>
      </c>
      <c r="E13" s="5">
        <f>Características!E13</f>
        <v>2022</v>
      </c>
      <c r="F13" s="15" t="s">
        <v>170</v>
      </c>
      <c r="G13" s="15" t="s">
        <v>171</v>
      </c>
      <c r="H13" s="15" t="s">
        <v>172</v>
      </c>
      <c r="I13" s="15" t="s">
        <v>173</v>
      </c>
      <c r="J13" s="15" t="s">
        <v>174</v>
      </c>
      <c r="K13" s="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1"/>
      <c r="B16" s="1"/>
      <c r="C16" s="1"/>
      <c r="D16" s="1"/>
      <c r="E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F3" r:id="rId1" xr:uid="{00000000-0004-0000-0100-000000000000}"/>
    <hyperlink ref="G3" r:id="rId2" xr:uid="{00000000-0004-0000-0100-000001000000}"/>
    <hyperlink ref="H3" r:id="rId3" xr:uid="{00000000-0004-0000-0100-000002000000}"/>
    <hyperlink ref="I3" r:id="rId4" xr:uid="{00000000-0004-0000-0100-000003000000}"/>
    <hyperlink ref="J3" r:id="rId5" xr:uid="{00000000-0004-0000-0100-000004000000}"/>
    <hyperlink ref="F4" r:id="rId6" xr:uid="{00000000-0004-0000-0100-000005000000}"/>
    <hyperlink ref="G4" r:id="rId7" xr:uid="{00000000-0004-0000-0100-000006000000}"/>
    <hyperlink ref="H4" r:id="rId8" xr:uid="{00000000-0004-0000-0100-000007000000}"/>
    <hyperlink ref="I4" r:id="rId9" xr:uid="{00000000-0004-0000-0100-000008000000}"/>
    <hyperlink ref="J4" r:id="rId10" xr:uid="{00000000-0004-0000-0100-000009000000}"/>
    <hyperlink ref="F5" r:id="rId11" xr:uid="{00000000-0004-0000-0100-00000A000000}"/>
    <hyperlink ref="G5" r:id="rId12" xr:uid="{00000000-0004-0000-0100-00000B000000}"/>
    <hyperlink ref="H5" r:id="rId13" xr:uid="{00000000-0004-0000-0100-00000C000000}"/>
    <hyperlink ref="I5" r:id="rId14" xr:uid="{00000000-0004-0000-0100-00000D000000}"/>
    <hyperlink ref="J5" r:id="rId15" xr:uid="{00000000-0004-0000-0100-00000E000000}"/>
    <hyperlink ref="F6" r:id="rId16" xr:uid="{00000000-0004-0000-0100-00000F000000}"/>
    <hyperlink ref="G6" r:id="rId17" xr:uid="{00000000-0004-0000-0100-000010000000}"/>
    <hyperlink ref="H6" r:id="rId18" xr:uid="{00000000-0004-0000-0100-000011000000}"/>
    <hyperlink ref="I6" r:id="rId19" xr:uid="{00000000-0004-0000-0100-000012000000}"/>
    <hyperlink ref="J6" r:id="rId20" xr:uid="{00000000-0004-0000-0100-000013000000}"/>
    <hyperlink ref="F7" r:id="rId21" xr:uid="{00000000-0004-0000-0100-000014000000}"/>
    <hyperlink ref="G7" r:id="rId22" xr:uid="{00000000-0004-0000-0100-000015000000}"/>
    <hyperlink ref="H7" r:id="rId23" xr:uid="{00000000-0004-0000-0100-000016000000}"/>
    <hyperlink ref="I7" r:id="rId24" xr:uid="{00000000-0004-0000-0100-000017000000}"/>
    <hyperlink ref="J7" r:id="rId25" xr:uid="{00000000-0004-0000-0100-000018000000}"/>
    <hyperlink ref="F8" r:id="rId26" xr:uid="{00000000-0004-0000-0100-000019000000}"/>
    <hyperlink ref="G8" r:id="rId27" xr:uid="{00000000-0004-0000-0100-00001A000000}"/>
    <hyperlink ref="H8" r:id="rId28" xr:uid="{00000000-0004-0000-0100-00001B000000}"/>
    <hyperlink ref="I8" r:id="rId29" xr:uid="{00000000-0004-0000-0100-00001C000000}"/>
    <hyperlink ref="J8" r:id="rId30" xr:uid="{00000000-0004-0000-0100-00001D000000}"/>
    <hyperlink ref="F9" r:id="rId31" xr:uid="{00000000-0004-0000-0100-00001E000000}"/>
    <hyperlink ref="G9" r:id="rId32" xr:uid="{00000000-0004-0000-0100-00001F000000}"/>
    <hyperlink ref="H9" r:id="rId33" xr:uid="{00000000-0004-0000-0100-000020000000}"/>
    <hyperlink ref="I9" r:id="rId34" xr:uid="{00000000-0004-0000-0100-000021000000}"/>
    <hyperlink ref="J9" r:id="rId35" xr:uid="{00000000-0004-0000-0100-000022000000}"/>
    <hyperlink ref="F10" r:id="rId36" xr:uid="{00000000-0004-0000-0100-000023000000}"/>
    <hyperlink ref="G10" r:id="rId37" xr:uid="{00000000-0004-0000-0100-000024000000}"/>
    <hyperlink ref="H10" r:id="rId38" xr:uid="{00000000-0004-0000-0100-000025000000}"/>
    <hyperlink ref="I10" r:id="rId39" xr:uid="{00000000-0004-0000-0100-000026000000}"/>
    <hyperlink ref="J10" r:id="rId40" xr:uid="{00000000-0004-0000-0100-000027000000}"/>
    <hyperlink ref="F11" r:id="rId41" xr:uid="{00000000-0004-0000-0100-000028000000}"/>
    <hyperlink ref="G11" r:id="rId42" xr:uid="{00000000-0004-0000-0100-000029000000}"/>
    <hyperlink ref="H11" r:id="rId43" xr:uid="{00000000-0004-0000-0100-00002A000000}"/>
    <hyperlink ref="I11" r:id="rId44" xr:uid="{00000000-0004-0000-0100-00002B000000}"/>
    <hyperlink ref="J11" r:id="rId45" xr:uid="{00000000-0004-0000-0100-00002C000000}"/>
    <hyperlink ref="F12" r:id="rId46" xr:uid="{00000000-0004-0000-0100-00002D000000}"/>
    <hyperlink ref="G12" r:id="rId47" xr:uid="{00000000-0004-0000-0100-00002E000000}"/>
    <hyperlink ref="H12" r:id="rId48" xr:uid="{00000000-0004-0000-0100-00002F000000}"/>
    <hyperlink ref="I12" r:id="rId49" xr:uid="{00000000-0004-0000-0100-000030000000}"/>
    <hyperlink ref="J12" r:id="rId50" xr:uid="{00000000-0004-0000-0100-000031000000}"/>
    <hyperlink ref="F13" r:id="rId51" xr:uid="{00000000-0004-0000-0100-000032000000}"/>
    <hyperlink ref="G13" r:id="rId52" xr:uid="{00000000-0004-0000-0100-000033000000}"/>
    <hyperlink ref="H13" r:id="rId53" xr:uid="{00000000-0004-0000-0100-000034000000}"/>
    <hyperlink ref="I13" r:id="rId54" xr:uid="{00000000-0004-0000-0100-000035000000}"/>
    <hyperlink ref="J13" r:id="rId55" xr:uid="{00000000-0004-0000-0100-000036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G16"/>
  <sheetViews>
    <sheetView workbookViewId="0"/>
  </sheetViews>
  <sheetFormatPr baseColWidth="10" defaultColWidth="12.6640625" defaultRowHeight="15.75" customHeight="1" x14ac:dyDescent="0.15"/>
  <sheetData>
    <row r="2" spans="1:7" ht="15.75" customHeight="1" x14ac:dyDescent="0.15">
      <c r="A2" s="18">
        <f t="shared" ref="A2:A16" si="0">B2+1</f>
        <v>10</v>
      </c>
      <c r="B2" s="18">
        <v>9</v>
      </c>
      <c r="C2" s="2" t="s">
        <v>175</v>
      </c>
      <c r="D2" s="19" t="s">
        <v>176</v>
      </c>
      <c r="F2" s="19" t="str">
        <f t="shared" ref="F2:F16" si="1">CONCATENATE(B2,"_",C2,D2)</f>
        <v>9_frontal.jpg</v>
      </c>
      <c r="G2" s="19" t="s">
        <v>177</v>
      </c>
    </row>
    <row r="3" spans="1:7" ht="15.75" customHeight="1" x14ac:dyDescent="0.15">
      <c r="A3" s="18">
        <f t="shared" si="0"/>
        <v>10</v>
      </c>
      <c r="B3" s="18">
        <v>9</v>
      </c>
      <c r="C3" s="2" t="s">
        <v>178</v>
      </c>
      <c r="D3" s="19" t="s">
        <v>176</v>
      </c>
      <c r="F3" s="19" t="str">
        <f t="shared" si="1"/>
        <v>9_lateral.jpg</v>
      </c>
      <c r="G3" s="19" t="s">
        <v>179</v>
      </c>
    </row>
    <row r="4" spans="1:7" ht="15.75" customHeight="1" x14ac:dyDescent="0.15">
      <c r="A4" s="18">
        <f t="shared" si="0"/>
        <v>10</v>
      </c>
      <c r="B4" s="18">
        <v>9</v>
      </c>
      <c r="C4" s="2" t="s">
        <v>180</v>
      </c>
      <c r="D4" s="19" t="s">
        <v>176</v>
      </c>
      <c r="F4" s="19" t="str">
        <f t="shared" si="1"/>
        <v>9_posterior.jpg</v>
      </c>
      <c r="G4" s="19" t="s">
        <v>181</v>
      </c>
    </row>
    <row r="5" spans="1:7" ht="15.75" customHeight="1" x14ac:dyDescent="0.15">
      <c r="A5" s="18">
        <f t="shared" si="0"/>
        <v>10</v>
      </c>
      <c r="B5" s="18">
        <v>9</v>
      </c>
      <c r="C5" s="2" t="s">
        <v>182</v>
      </c>
      <c r="D5" s="19" t="s">
        <v>176</v>
      </c>
      <c r="F5" s="19" t="str">
        <f t="shared" si="1"/>
        <v>9_tablero.jpg</v>
      </c>
      <c r="G5" s="19" t="s">
        <v>183</v>
      </c>
    </row>
    <row r="6" spans="1:7" ht="15.75" customHeight="1" x14ac:dyDescent="0.15">
      <c r="A6" s="18">
        <f t="shared" si="0"/>
        <v>10</v>
      </c>
      <c r="B6" s="18">
        <v>9</v>
      </c>
      <c r="C6" s="2" t="s">
        <v>184</v>
      </c>
      <c r="D6" s="19" t="s">
        <v>176</v>
      </c>
      <c r="F6" s="19" t="str">
        <f t="shared" si="1"/>
        <v>9_asientos.jpg</v>
      </c>
      <c r="G6" s="19" t="s">
        <v>185</v>
      </c>
    </row>
    <row r="7" spans="1:7" ht="15.75" customHeight="1" x14ac:dyDescent="0.15">
      <c r="A7" s="18">
        <f t="shared" si="0"/>
        <v>11</v>
      </c>
      <c r="B7" s="18">
        <v>10</v>
      </c>
      <c r="C7" s="2" t="s">
        <v>175</v>
      </c>
      <c r="D7" s="19" t="s">
        <v>176</v>
      </c>
      <c r="F7" s="19" t="str">
        <f t="shared" si="1"/>
        <v>10_frontal.jpg</v>
      </c>
      <c r="G7" s="19" t="s">
        <v>186</v>
      </c>
    </row>
    <row r="8" spans="1:7" ht="15.75" customHeight="1" x14ac:dyDescent="0.15">
      <c r="A8" s="18">
        <f t="shared" si="0"/>
        <v>11</v>
      </c>
      <c r="B8" s="18">
        <v>10</v>
      </c>
      <c r="C8" s="2" t="s">
        <v>178</v>
      </c>
      <c r="D8" s="19" t="s">
        <v>176</v>
      </c>
      <c r="F8" s="19" t="str">
        <f t="shared" si="1"/>
        <v>10_lateral.jpg</v>
      </c>
      <c r="G8" s="19" t="s">
        <v>187</v>
      </c>
    </row>
    <row r="9" spans="1:7" ht="15.75" customHeight="1" x14ac:dyDescent="0.15">
      <c r="A9" s="18">
        <f t="shared" si="0"/>
        <v>11</v>
      </c>
      <c r="B9" s="18">
        <v>10</v>
      </c>
      <c r="C9" s="2" t="s">
        <v>180</v>
      </c>
      <c r="D9" s="19" t="s">
        <v>176</v>
      </c>
      <c r="F9" s="19" t="str">
        <f t="shared" si="1"/>
        <v>10_posterior.jpg</v>
      </c>
      <c r="G9" s="19" t="s">
        <v>188</v>
      </c>
    </row>
    <row r="10" spans="1:7" ht="15.75" customHeight="1" x14ac:dyDescent="0.15">
      <c r="A10" s="18">
        <f t="shared" si="0"/>
        <v>11</v>
      </c>
      <c r="B10" s="18">
        <v>10</v>
      </c>
      <c r="C10" s="2" t="s">
        <v>182</v>
      </c>
      <c r="D10" s="19" t="s">
        <v>176</v>
      </c>
      <c r="F10" s="19" t="str">
        <f t="shared" si="1"/>
        <v>10_tablero.jpg</v>
      </c>
      <c r="G10" s="19" t="s">
        <v>189</v>
      </c>
    </row>
    <row r="11" spans="1:7" ht="15.75" customHeight="1" x14ac:dyDescent="0.15">
      <c r="A11" s="18">
        <f t="shared" si="0"/>
        <v>11</v>
      </c>
      <c r="B11" s="18">
        <v>10</v>
      </c>
      <c r="C11" s="2" t="s">
        <v>184</v>
      </c>
      <c r="D11" s="19" t="s">
        <v>176</v>
      </c>
      <c r="F11" s="19" t="str">
        <f t="shared" si="1"/>
        <v>10_asientos.jpg</v>
      </c>
      <c r="G11" s="19" t="s">
        <v>190</v>
      </c>
    </row>
    <row r="12" spans="1:7" ht="15.75" customHeight="1" x14ac:dyDescent="0.15">
      <c r="A12" s="18">
        <f t="shared" si="0"/>
        <v>12</v>
      </c>
      <c r="B12" s="18">
        <v>11</v>
      </c>
      <c r="C12" s="2" t="s">
        <v>175</v>
      </c>
      <c r="D12" s="19" t="s">
        <v>176</v>
      </c>
      <c r="F12" s="19" t="str">
        <f t="shared" si="1"/>
        <v>11_frontal.jpg</v>
      </c>
      <c r="G12" s="19" t="s">
        <v>191</v>
      </c>
    </row>
    <row r="13" spans="1:7" ht="15.75" customHeight="1" x14ac:dyDescent="0.15">
      <c r="A13" s="18">
        <f t="shared" si="0"/>
        <v>12</v>
      </c>
      <c r="B13" s="18">
        <v>11</v>
      </c>
      <c r="C13" s="2" t="s">
        <v>178</v>
      </c>
      <c r="D13" s="19" t="s">
        <v>176</v>
      </c>
      <c r="F13" s="19" t="str">
        <f t="shared" si="1"/>
        <v>11_lateral.jpg</v>
      </c>
      <c r="G13" s="19" t="s">
        <v>192</v>
      </c>
    </row>
    <row r="14" spans="1:7" ht="15.75" customHeight="1" x14ac:dyDescent="0.15">
      <c r="A14" s="18">
        <f t="shared" si="0"/>
        <v>12</v>
      </c>
      <c r="B14" s="18">
        <v>11</v>
      </c>
      <c r="C14" s="2" t="s">
        <v>180</v>
      </c>
      <c r="D14" s="19" t="s">
        <v>176</v>
      </c>
      <c r="F14" s="19" t="str">
        <f t="shared" si="1"/>
        <v>11_posterior.jpg</v>
      </c>
      <c r="G14" s="19" t="s">
        <v>193</v>
      </c>
    </row>
    <row r="15" spans="1:7" ht="15.75" customHeight="1" x14ac:dyDescent="0.15">
      <c r="A15" s="18">
        <f t="shared" si="0"/>
        <v>12</v>
      </c>
      <c r="B15" s="18">
        <v>11</v>
      </c>
      <c r="C15" s="2" t="s">
        <v>182</v>
      </c>
      <c r="D15" s="19" t="s">
        <v>176</v>
      </c>
      <c r="F15" s="19" t="str">
        <f t="shared" si="1"/>
        <v>11_tablero.jpg</v>
      </c>
      <c r="G15" s="19" t="s">
        <v>194</v>
      </c>
    </row>
    <row r="16" spans="1:7" ht="15.75" customHeight="1" x14ac:dyDescent="0.15">
      <c r="A16" s="18">
        <f t="shared" si="0"/>
        <v>12</v>
      </c>
      <c r="B16" s="18">
        <v>11</v>
      </c>
      <c r="C16" s="2" t="s">
        <v>184</v>
      </c>
      <c r="D16" s="19" t="s">
        <v>176</v>
      </c>
      <c r="F16" s="19" t="str">
        <f t="shared" si="1"/>
        <v>11_asientos.jpg</v>
      </c>
      <c r="G16" s="1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Características</vt:lpstr>
      <vt:lpstr>Fotos</vt:lpstr>
      <vt:lpstr>Hoja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Gonzalo Castro</cp:lastModifiedBy>
  <dcterms:created xsi:type="dcterms:W3CDTF">2025-11-24T15:43:30Z</dcterms:created>
  <dcterms:modified xsi:type="dcterms:W3CDTF">2025-12-16T15:11:24Z</dcterms:modified>
</cp:coreProperties>
</file>